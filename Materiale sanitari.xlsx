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ttore.bottin\Desktop\"/>
    </mc:Choice>
  </mc:AlternateContent>
  <xr:revisionPtr revIDLastSave="0" documentId="8_{6AB5BE39-8250-48E2-ACEF-0A886492193F}" xr6:coauthVersionLast="47" xr6:coauthVersionMax="47" xr10:uidLastSave="{00000000-0000-0000-0000-000000000000}"/>
  <bookViews>
    <workbookView xWindow="4920" yWindow="3816" windowWidth="17280" windowHeight="9960" activeTab="4" xr2:uid="{00000000-000D-0000-FFFF-FFFF00000000}"/>
  </bookViews>
  <sheets>
    <sheet name="Giacenza armadio" sheetId="4" r:id="rId1"/>
    <sheet name="Situazione Gen" sheetId="3" r:id="rId2"/>
    <sheet name="Da ordinare" sheetId="5" r:id="rId3"/>
    <sheet name="Materiale cassettine" sheetId="6" r:id="rId4"/>
    <sheet name="Foglio1" sheetId="7" r:id="rId5"/>
  </sheets>
  <definedNames>
    <definedName name="_xlnm._FilterDatabase" localSheetId="2" hidden="1">'Da ordinare'!$A$1:$B$1</definedName>
    <definedName name="_xlnm._FilterDatabase" localSheetId="0" hidden="1">'Giacenza armadio'!$A$1:$D$40</definedName>
    <definedName name="_xlnm._FilterDatabase" localSheetId="3" hidden="1">'Materiale cassettine'!$A$1:$E$74</definedName>
    <definedName name="_xlnm._FilterDatabase" localSheetId="1" hidden="1">'Situazione Gen'!$A$2:$L$2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  <c r="B3" i="5"/>
  <c r="B4" i="5"/>
  <c r="B5" i="5"/>
  <c r="B2" i="5"/>
  <c r="G5" i="3"/>
  <c r="H5" i="3" s="1"/>
  <c r="I5" i="3" s="1"/>
  <c r="J5" i="3" s="1"/>
  <c r="G6" i="3"/>
  <c r="H6" i="3" s="1"/>
  <c r="I6" i="3" s="1"/>
  <c r="J6" i="3" s="1"/>
  <c r="G7" i="3"/>
  <c r="H7" i="3" s="1"/>
  <c r="I7" i="3" s="1"/>
  <c r="J7" i="3" s="1"/>
  <c r="G4" i="3"/>
  <c r="H4" i="3" s="1"/>
  <c r="I4" i="3" s="1"/>
  <c r="J4" i="3" s="1"/>
  <c r="G9" i="3"/>
  <c r="H9" i="3" s="1"/>
  <c r="I9" i="3" s="1"/>
  <c r="J9" i="3" s="1"/>
  <c r="G10" i="3"/>
  <c r="H10" i="3" s="1"/>
  <c r="I10" i="3" s="1"/>
  <c r="J10" i="3" s="1"/>
  <c r="G11" i="3"/>
  <c r="H11" i="3" s="1"/>
  <c r="I11" i="3" s="1"/>
  <c r="J11" i="3" s="1"/>
  <c r="G8" i="3"/>
  <c r="H8" i="3" s="1"/>
  <c r="I8" i="3" s="1"/>
  <c r="J8" i="3" s="1"/>
  <c r="G12" i="3"/>
  <c r="H12" i="3" s="1"/>
  <c r="I12" i="3" s="1"/>
  <c r="J12" i="3" s="1"/>
  <c r="G13" i="3"/>
  <c r="H13" i="3" s="1"/>
  <c r="I13" i="3" s="1"/>
  <c r="J13" i="3" s="1"/>
  <c r="G14" i="3"/>
  <c r="H14" i="3" s="1"/>
  <c r="I14" i="3" s="1"/>
  <c r="J14" i="3" s="1"/>
  <c r="G15" i="3"/>
  <c r="H15" i="3" s="1"/>
  <c r="I15" i="3" s="1"/>
  <c r="J15" i="3" s="1"/>
  <c r="G16" i="3"/>
  <c r="H16" i="3" s="1"/>
  <c r="I16" i="3" s="1"/>
  <c r="J16" i="3" s="1"/>
  <c r="G17" i="3"/>
  <c r="H17" i="3" s="1"/>
  <c r="I17" i="3" s="1"/>
  <c r="J17" i="3" s="1"/>
  <c r="G18" i="3"/>
  <c r="H18" i="3" s="1"/>
  <c r="I18" i="3" s="1"/>
  <c r="J18" i="3" s="1"/>
  <c r="G19" i="3"/>
  <c r="H19" i="3" s="1"/>
  <c r="I19" i="3" s="1"/>
  <c r="J19" i="3" s="1"/>
  <c r="G20" i="3"/>
  <c r="H20" i="3" s="1"/>
  <c r="I20" i="3" s="1"/>
  <c r="G3" i="3"/>
  <c r="H3" i="3" s="1"/>
  <c r="I3" i="3" s="1"/>
  <c r="J3" i="3" s="1"/>
  <c r="J20" i="3" l="1"/>
</calcChain>
</file>

<file path=xl/sharedStrings.xml><?xml version="1.0" encoding="utf-8"?>
<sst xmlns="http://schemas.openxmlformats.org/spreadsheetml/2006/main" count="290" uniqueCount="87">
  <si>
    <t>Lacci emostatici</t>
  </si>
  <si>
    <t>Dispositivo</t>
  </si>
  <si>
    <t>Guanti sterili monouso</t>
  </si>
  <si>
    <t>Visere paraschizzi</t>
  </si>
  <si>
    <t>Flacone di soluzione cutanea di idodiopoviodone al 10% di iodio da 1 litro</t>
  </si>
  <si>
    <t>Flaconi di soluzione fisiologica (sodio cloruro - 0,9%) da 500 ml</t>
  </si>
  <si>
    <t>Compresse di garza sterile  10x10 in buste singole</t>
  </si>
  <si>
    <t>Compresse di garza sterile  18x40 in buste singole</t>
  </si>
  <si>
    <t>Teli sterili monouso</t>
  </si>
  <si>
    <t>Pinzette da medicazione sterili monouso</t>
  </si>
  <si>
    <t>Confezione di rete elastica di misura media</t>
  </si>
  <si>
    <t>Paio di forbici</t>
  </si>
  <si>
    <t>Rotoli di cerotto alto cm. 2,5</t>
  </si>
  <si>
    <t xml:space="preserve">Ghiaccio </t>
  </si>
  <si>
    <t>Sacchetti monouso per la raccolta dei rifiuti</t>
  </si>
  <si>
    <t>Apparecchio per la misurazione della pressione</t>
  </si>
  <si>
    <t>Confezione di cotone idrofilo</t>
  </si>
  <si>
    <t>Confezione di cerotti vari</t>
  </si>
  <si>
    <t>Disinfettante Antiasettico cutaneo (NO IODIO)</t>
  </si>
  <si>
    <t>Cream punture insetti</t>
  </si>
  <si>
    <t>Termometro a distanza</t>
  </si>
  <si>
    <t>Termometro a pelle</t>
  </si>
  <si>
    <t>Benda di fissaggio elastica</t>
  </si>
  <si>
    <t>Pinzette in acciaio</t>
  </si>
  <si>
    <t xml:space="preserve">Siringhe sterili monouso </t>
  </si>
  <si>
    <t>Flaconi di soluzione fisiologica (sodio cloruro - 0,9%) da 250 ml</t>
  </si>
  <si>
    <t>QNT</t>
  </si>
  <si>
    <t>DISPOSITIVO</t>
  </si>
  <si>
    <t>QNT PER CASSETTA</t>
  </si>
  <si>
    <t>Flacone di soluzione cutanea di idodiopoviodone al 10% di iodio da 1 litro (Bottiglia da 500ml)</t>
  </si>
  <si>
    <t>2 bottiglie da 250ml</t>
  </si>
  <si>
    <t>1 a distanza</t>
  </si>
  <si>
    <t xml:space="preserve">note </t>
  </si>
  <si>
    <t>Cassetta 1</t>
  </si>
  <si>
    <t>Cassetta 2</t>
  </si>
  <si>
    <t>Cassetta 4</t>
  </si>
  <si>
    <t xml:space="preserve">Cassetta 3 </t>
  </si>
  <si>
    <t xml:space="preserve">Rimanenze progressive </t>
  </si>
  <si>
    <t>Termometro</t>
  </si>
  <si>
    <t>N°5 paia di guati sterili monouso</t>
  </si>
  <si>
    <t>N°1 visiera paraschizzi</t>
  </si>
  <si>
    <t>N°1 flacone di soluzione cutanea di iodiopovidone al 10% di iodio da 1 litro</t>
  </si>
  <si>
    <t>N°10 compresse di garza sterile 10x10 in buste singole</t>
  </si>
  <si>
    <t>N°3 flaconi di soluzione fisiologica (sodio cloruro - 0,9%) da 500 ml</t>
  </si>
  <si>
    <t>N°2 compresse di garza sterile 18x40 in buste singole</t>
  </si>
  <si>
    <t>N°2 teli sterili monouso</t>
  </si>
  <si>
    <t>N°2 pinzette da medicazione sterili</t>
  </si>
  <si>
    <t>N°1 confezione di rete elastica di misura media</t>
  </si>
  <si>
    <t>N°1 confezione cotone idrofilo</t>
  </si>
  <si>
    <t>N°1 paio di forbici</t>
  </si>
  <si>
    <t>N°2 rotoli di cerotto alto cm. 2,5</t>
  </si>
  <si>
    <t>N°3 lacci emostatici</t>
  </si>
  <si>
    <t>N°2 confezioni ghiaccio pronto all'uso</t>
  </si>
  <si>
    <t>N°2 sacchetti monouso per la raccolta di rifiuti sanitari</t>
  </si>
  <si>
    <t>N°1 termometro</t>
  </si>
  <si>
    <t>N°1 apparecchio per la misurazione della pressione arteriosa</t>
  </si>
  <si>
    <t>Scadenza</t>
  </si>
  <si>
    <t>Ubicazione</t>
  </si>
  <si>
    <t xml:space="preserve">Quantità richiesta </t>
  </si>
  <si>
    <t xml:space="preserve">Quantità effettiva </t>
  </si>
  <si>
    <t>Cassetta 1 - Centralino</t>
  </si>
  <si>
    <t>Cassetta 2 -  Porte/Portali</t>
  </si>
  <si>
    <t>Cassetta 3 - Preparazione</t>
  </si>
  <si>
    <t>Cassetta 4 - Assemblaggio/Finitura</t>
  </si>
  <si>
    <t>N°2 confezione di cerotti di varie misure pronti all'uso</t>
  </si>
  <si>
    <t>nessuna</t>
  </si>
  <si>
    <t>SCADENZA</t>
  </si>
  <si>
    <t>N°1 Confezione di rete elastica di misura media</t>
  </si>
  <si>
    <t>Compressa di garza sterile 10x10 in buste singole</t>
  </si>
  <si>
    <t>Paia di guati sterili monouso</t>
  </si>
  <si>
    <t>Visiera paraschizzi</t>
  </si>
  <si>
    <t>Pinzette da medicazione sterili</t>
  </si>
  <si>
    <t>Compresse di garza sterile 10x10 in buste singole</t>
  </si>
  <si>
    <t>Confezione cotone idrofilo</t>
  </si>
  <si>
    <t>Flacone di soluzione cutanea di iodiopovidone al 10% di iodio da 1 litro</t>
  </si>
  <si>
    <t>Confezione di cerotti di varie misure pronti all'uso</t>
  </si>
  <si>
    <t>Confezioni ghiaccio pronto all'uso</t>
  </si>
  <si>
    <t>Sacchetti monouso per la raccolta di rifiuti sanitari</t>
  </si>
  <si>
    <t>Apparecchio per la misurazione della pressione arteriosa</t>
  </si>
  <si>
    <t>Materiale</t>
  </si>
  <si>
    <t xml:space="preserve">Qnt minima </t>
  </si>
  <si>
    <t>Codice</t>
  </si>
  <si>
    <t xml:space="preserve">pagina </t>
  </si>
  <si>
    <t>UMV</t>
  </si>
  <si>
    <t>pz</t>
  </si>
  <si>
    <t>cf</t>
  </si>
  <si>
    <t>cf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</si>
</sst>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0]mmmm\-yy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/>
    <xf numFmtId="0" fontId="0" fillId="2" borderId="0" xfId="0" applyFill="1"/>
    <xf numFmtId="0" fontId="1" fillId="2" borderId="0" xfId="0" applyFont="1" applyFill="1"/>
    <xf numFmtId="164" fontId="1" fillId="2" borderId="0" xfId="0" applyNumberFormat="1" applyFont="1" applyFill="1"/>
    <xf numFmtId="164" fontId="1" fillId="2" borderId="0" xfId="0" applyNumberFormat="1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7" xfId="0" applyFont="1" applyFill="1" applyBorder="1"/>
    <xf numFmtId="0" fontId="1" fillId="2" borderId="8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8" xfId="0" applyNumberFormat="1" applyBorder="1"/>
    <xf numFmtId="0" fontId="0" fillId="0" borderId="10" xfId="0" applyBorder="1" applyAlignment="1">
      <alignment horizontal="center"/>
    </xf>
    <xf numFmtId="164" fontId="0" fillId="0" borderId="11" xfId="0" applyNumberForma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4" fontId="1" fillId="2" borderId="14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e" xfId="0" builtinId="0"/>
  </cellStyles>
  <dxfs count="6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EE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EE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B1AC-5381-41FA-B833-A21E1B10EDB0}">
  <dimension ref="A1:C46"/>
  <sheetViews>
    <sheetView workbookViewId="0">
      <selection activeCell="A17" sqref="A17"/>
    </sheetView>
  </sheetViews>
  <sheetFormatPr defaultColWidth="8.77734375" defaultRowHeight="14.4" x14ac:dyDescent="0.3"/>
  <cols>
    <col min="1" max="1" width="61.6640625" bestFit="1" customWidth="1"/>
    <col min="3" max="3" width="12" style="4" bestFit="1" customWidth="1"/>
    <col min="4" max="4" width="11.109375" bestFit="1" customWidth="1"/>
  </cols>
  <sheetData>
    <row r="1" spans="1:3" s="6" customFormat="1" x14ac:dyDescent="0.3">
      <c r="A1" s="6" t="s">
        <v>27</v>
      </c>
      <c r="B1" s="6" t="s">
        <v>26</v>
      </c>
      <c r="C1" s="7" t="s">
        <v>66</v>
      </c>
    </row>
    <row r="2" spans="1:3" x14ac:dyDescent="0.3">
      <c r="A2" t="s">
        <v>5</v>
      </c>
      <c r="B2">
        <v>3</v>
      </c>
      <c r="C2" s="4">
        <v>45839</v>
      </c>
    </row>
    <row r="3" spans="1:3" x14ac:dyDescent="0.3">
      <c r="A3" t="s">
        <v>18</v>
      </c>
      <c r="B3">
        <v>1</v>
      </c>
      <c r="C3" s="4">
        <v>46113</v>
      </c>
    </row>
    <row r="4" spans="1:3" x14ac:dyDescent="0.3">
      <c r="A4" t="s">
        <v>4</v>
      </c>
      <c r="B4">
        <v>1.5</v>
      </c>
      <c r="C4" s="4">
        <v>46143</v>
      </c>
    </row>
    <row r="5" spans="1:3" x14ac:dyDescent="0.3">
      <c r="A5" t="s">
        <v>9</v>
      </c>
      <c r="B5">
        <v>1</v>
      </c>
      <c r="C5" s="4">
        <v>46174</v>
      </c>
    </row>
    <row r="6" spans="1:3" x14ac:dyDescent="0.3">
      <c r="A6" t="s">
        <v>18</v>
      </c>
      <c r="B6">
        <v>1</v>
      </c>
      <c r="C6" s="4">
        <v>46266</v>
      </c>
    </row>
    <row r="7" spans="1:3" x14ac:dyDescent="0.3">
      <c r="A7" t="s">
        <v>19</v>
      </c>
      <c r="B7">
        <v>1</v>
      </c>
      <c r="C7" s="4">
        <v>46296</v>
      </c>
    </row>
    <row r="8" spans="1:3" x14ac:dyDescent="0.3">
      <c r="A8" t="s">
        <v>9</v>
      </c>
      <c r="B8">
        <v>5</v>
      </c>
      <c r="C8" s="4">
        <v>46296</v>
      </c>
    </row>
    <row r="9" spans="1:3" x14ac:dyDescent="0.3">
      <c r="A9" t="s">
        <v>7</v>
      </c>
      <c r="B9">
        <v>1</v>
      </c>
      <c r="C9" s="4">
        <v>46296</v>
      </c>
    </row>
    <row r="10" spans="1:3" x14ac:dyDescent="0.3">
      <c r="A10" t="s">
        <v>2</v>
      </c>
      <c r="B10">
        <v>3</v>
      </c>
      <c r="C10" s="4">
        <v>46357</v>
      </c>
    </row>
    <row r="11" spans="1:3" x14ac:dyDescent="0.3">
      <c r="A11" t="s">
        <v>8</v>
      </c>
      <c r="B11">
        <v>12</v>
      </c>
      <c r="C11" s="4">
        <v>46388</v>
      </c>
    </row>
    <row r="12" spans="1:3" x14ac:dyDescent="0.3">
      <c r="A12" t="s">
        <v>25</v>
      </c>
      <c r="B12">
        <v>2</v>
      </c>
      <c r="C12" s="4">
        <v>46419</v>
      </c>
    </row>
    <row r="13" spans="1:3" x14ac:dyDescent="0.3">
      <c r="A13" t="s">
        <v>5</v>
      </c>
      <c r="B13">
        <v>6</v>
      </c>
      <c r="C13" s="4">
        <v>46508</v>
      </c>
    </row>
    <row r="14" spans="1:3" x14ac:dyDescent="0.3">
      <c r="A14" t="s">
        <v>16</v>
      </c>
      <c r="B14">
        <v>1</v>
      </c>
      <c r="C14" s="4">
        <v>46508</v>
      </c>
    </row>
    <row r="15" spans="1:3" x14ac:dyDescent="0.3">
      <c r="A15" t="s">
        <v>6</v>
      </c>
      <c r="B15">
        <v>1</v>
      </c>
      <c r="C15" s="4">
        <v>46539</v>
      </c>
    </row>
    <row r="16" spans="1:3" x14ac:dyDescent="0.3">
      <c r="A16" t="s">
        <v>2</v>
      </c>
      <c r="B16">
        <v>18</v>
      </c>
      <c r="C16" s="4">
        <v>46569</v>
      </c>
    </row>
    <row r="17" spans="1:3" x14ac:dyDescent="0.3">
      <c r="A17" t="s">
        <v>16</v>
      </c>
      <c r="B17">
        <v>1</v>
      </c>
      <c r="C17" s="4">
        <v>46600</v>
      </c>
    </row>
    <row r="18" spans="1:3" x14ac:dyDescent="0.3">
      <c r="A18" t="s">
        <v>22</v>
      </c>
      <c r="B18">
        <v>1</v>
      </c>
      <c r="C18" s="4">
        <v>46600</v>
      </c>
    </row>
    <row r="19" spans="1:3" x14ac:dyDescent="0.3">
      <c r="A19" t="s">
        <v>24</v>
      </c>
      <c r="B19">
        <v>10</v>
      </c>
      <c r="C19" s="4">
        <v>46844</v>
      </c>
    </row>
    <row r="20" spans="1:3" x14ac:dyDescent="0.3">
      <c r="A20" t="s">
        <v>16</v>
      </c>
      <c r="B20">
        <v>2</v>
      </c>
      <c r="C20" s="4">
        <v>46905</v>
      </c>
    </row>
    <row r="21" spans="1:3" x14ac:dyDescent="0.3">
      <c r="A21" t="s">
        <v>24</v>
      </c>
      <c r="B21">
        <v>10</v>
      </c>
      <c r="C21" s="4">
        <v>46905</v>
      </c>
    </row>
    <row r="22" spans="1:3" x14ac:dyDescent="0.3">
      <c r="A22" t="s">
        <v>9</v>
      </c>
      <c r="B22">
        <v>2</v>
      </c>
      <c r="C22" s="4">
        <v>46966</v>
      </c>
    </row>
    <row r="23" spans="1:3" x14ac:dyDescent="0.3">
      <c r="A23" t="s">
        <v>6</v>
      </c>
      <c r="B23">
        <v>11</v>
      </c>
      <c r="C23" s="4">
        <v>47088</v>
      </c>
    </row>
    <row r="24" spans="1:3" x14ac:dyDescent="0.3">
      <c r="A24" t="s">
        <v>8</v>
      </c>
      <c r="B24">
        <v>4</v>
      </c>
      <c r="C24" s="4">
        <v>47178</v>
      </c>
    </row>
    <row r="25" spans="1:3" x14ac:dyDescent="0.3">
      <c r="A25" t="s">
        <v>17</v>
      </c>
      <c r="B25">
        <v>2</v>
      </c>
      <c r="C25" s="4">
        <v>47178</v>
      </c>
    </row>
    <row r="26" spans="1:3" x14ac:dyDescent="0.3">
      <c r="A26" t="s">
        <v>0</v>
      </c>
      <c r="B26">
        <v>6</v>
      </c>
      <c r="C26" s="4">
        <v>47178</v>
      </c>
    </row>
    <row r="27" spans="1:3" x14ac:dyDescent="0.3">
      <c r="A27" t="s">
        <v>2</v>
      </c>
      <c r="B27">
        <v>5</v>
      </c>
      <c r="C27" s="4">
        <v>47178</v>
      </c>
    </row>
    <row r="28" spans="1:3" x14ac:dyDescent="0.3">
      <c r="A28" t="s">
        <v>17</v>
      </c>
      <c r="B28">
        <v>1</v>
      </c>
      <c r="C28" s="4">
        <v>47178</v>
      </c>
    </row>
    <row r="29" spans="1:3" x14ac:dyDescent="0.3">
      <c r="A29" t="s">
        <v>10</v>
      </c>
      <c r="B29">
        <v>2</v>
      </c>
      <c r="C29" s="4">
        <v>47209</v>
      </c>
    </row>
    <row r="30" spans="1:3" x14ac:dyDescent="0.3">
      <c r="A30" t="s">
        <v>12</v>
      </c>
      <c r="B30">
        <v>4</v>
      </c>
      <c r="C30" s="4">
        <v>47209</v>
      </c>
    </row>
    <row r="31" spans="1:3" x14ac:dyDescent="0.3">
      <c r="A31" t="s">
        <v>17</v>
      </c>
      <c r="B31">
        <v>9</v>
      </c>
      <c r="C31" s="4">
        <v>47239</v>
      </c>
    </row>
    <row r="32" spans="1:3" x14ac:dyDescent="0.3">
      <c r="A32" t="s">
        <v>7</v>
      </c>
      <c r="B32">
        <v>2</v>
      </c>
      <c r="C32" s="4">
        <v>47270</v>
      </c>
    </row>
    <row r="33" spans="1:3" x14ac:dyDescent="0.3">
      <c r="A33" t="s">
        <v>17</v>
      </c>
      <c r="B33">
        <v>5</v>
      </c>
      <c r="C33" s="4">
        <v>47270</v>
      </c>
    </row>
    <row r="34" spans="1:3" x14ac:dyDescent="0.3">
      <c r="A34" t="s">
        <v>13</v>
      </c>
      <c r="B34">
        <v>5</v>
      </c>
      <c r="C34" s="4">
        <v>47453</v>
      </c>
    </row>
    <row r="35" spans="1:3" x14ac:dyDescent="0.3">
      <c r="A35" t="s">
        <v>68</v>
      </c>
      <c r="B35">
        <v>29</v>
      </c>
      <c r="C35" s="4">
        <v>47484</v>
      </c>
    </row>
    <row r="36" spans="1:3" x14ac:dyDescent="0.3">
      <c r="A36" t="s">
        <v>10</v>
      </c>
      <c r="B36">
        <v>6</v>
      </c>
      <c r="C36" s="4">
        <v>47484</v>
      </c>
    </row>
    <row r="37" spans="1:3" x14ac:dyDescent="0.3">
      <c r="A37" t="s">
        <v>13</v>
      </c>
      <c r="B37">
        <v>6</v>
      </c>
      <c r="C37" s="4">
        <v>47543</v>
      </c>
    </row>
    <row r="38" spans="1:3" x14ac:dyDescent="0.3">
      <c r="A38" t="s">
        <v>17</v>
      </c>
      <c r="B38">
        <v>8</v>
      </c>
      <c r="C38" s="4">
        <v>47543</v>
      </c>
    </row>
    <row r="39" spans="1:3" x14ac:dyDescent="0.3">
      <c r="A39" t="s">
        <v>3</v>
      </c>
      <c r="B39">
        <v>0</v>
      </c>
    </row>
    <row r="40" spans="1:3" x14ac:dyDescent="0.3">
      <c r="A40" t="s">
        <v>11</v>
      </c>
      <c r="B40">
        <v>2</v>
      </c>
    </row>
    <row r="41" spans="1:3" x14ac:dyDescent="0.3">
      <c r="A41" t="s">
        <v>14</v>
      </c>
      <c r="B41">
        <v>4</v>
      </c>
    </row>
    <row r="42" spans="1:3" x14ac:dyDescent="0.3">
      <c r="A42" t="s">
        <v>21</v>
      </c>
      <c r="B42">
        <v>2</v>
      </c>
    </row>
    <row r="43" spans="1:3" x14ac:dyDescent="0.3">
      <c r="A43" t="s">
        <v>15</v>
      </c>
      <c r="B43">
        <v>1</v>
      </c>
    </row>
    <row r="44" spans="1:3" x14ac:dyDescent="0.3">
      <c r="A44" t="s">
        <v>20</v>
      </c>
      <c r="B44">
        <v>1</v>
      </c>
    </row>
    <row r="45" spans="1:3" x14ac:dyDescent="0.3">
      <c r="A45" t="s">
        <v>23</v>
      </c>
      <c r="B45">
        <v>1</v>
      </c>
    </row>
    <row r="46" spans="1:3" x14ac:dyDescent="0.3">
      <c r="A46" t="s">
        <v>15</v>
      </c>
      <c r="B46">
        <v>2</v>
      </c>
    </row>
  </sheetData>
  <autoFilter ref="A1:D40" xr:uid="{E6A2B1AC-5381-41FA-B833-A21E1B10EDB0}">
    <sortState xmlns:xlrd2="http://schemas.microsoft.com/office/spreadsheetml/2017/richdata2" ref="A2:C46">
      <sortCondition ref="C1:C40"/>
    </sortState>
  </autoFilter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6822-CB8E-4241-A738-7CECF11ED156}">
  <dimension ref="A1:L20"/>
  <sheetViews>
    <sheetView workbookViewId="0">
      <pane ySplit="2" topLeftCell="A3" activePane="bottomLeft" state="frozen"/>
      <selection pane="bottomLeft" activeCell="B4" sqref="B4"/>
    </sheetView>
  </sheetViews>
  <sheetFormatPr defaultColWidth="8.77734375" defaultRowHeight="14.4" x14ac:dyDescent="0.3"/>
  <cols>
    <col min="1" max="1" width="78.33203125" bestFit="1" customWidth="1"/>
    <col min="2" max="2" width="9.77734375" style="1" customWidth="1"/>
    <col min="3" max="3" width="17.109375" style="4" bestFit="1" customWidth="1"/>
    <col min="4" max="4" width="5.77734375" style="4" bestFit="1" customWidth="1"/>
    <col min="5" max="5" width="22" style="1" bestFit="1" customWidth="1"/>
    <col min="7" max="8" width="11.6640625" bestFit="1" customWidth="1"/>
    <col min="9" max="9" width="12.109375" bestFit="1" customWidth="1"/>
    <col min="10" max="10" width="11.6640625" bestFit="1" customWidth="1"/>
    <col min="12" max="12" width="17.44140625" bestFit="1" customWidth="1"/>
  </cols>
  <sheetData>
    <row r="1" spans="1:12" s="5" customFormat="1" x14ac:dyDescent="0.3">
      <c r="A1" s="25" t="s">
        <v>27</v>
      </c>
      <c r="B1" s="27" t="s">
        <v>26</v>
      </c>
      <c r="C1" s="29" t="s">
        <v>32</v>
      </c>
      <c r="D1" s="8"/>
      <c r="E1" s="31" t="s">
        <v>28</v>
      </c>
      <c r="G1" s="25" t="s">
        <v>37</v>
      </c>
      <c r="H1" s="27"/>
      <c r="I1" s="27"/>
      <c r="J1" s="33"/>
      <c r="L1" s="24"/>
    </row>
    <row r="2" spans="1:12" s="6" customFormat="1" x14ac:dyDescent="0.3">
      <c r="A2" s="26"/>
      <c r="B2" s="28"/>
      <c r="C2" s="30"/>
      <c r="D2" s="8"/>
      <c r="E2" s="32"/>
      <c r="G2" s="11" t="s">
        <v>33</v>
      </c>
      <c r="H2" s="6" t="s">
        <v>34</v>
      </c>
      <c r="I2" s="6" t="s">
        <v>36</v>
      </c>
      <c r="J2" s="12" t="s">
        <v>35</v>
      </c>
      <c r="L2" s="24"/>
    </row>
    <row r="3" spans="1:12" x14ac:dyDescent="0.3">
      <c r="A3" s="13" t="s">
        <v>3</v>
      </c>
      <c r="B3" s="1">
        <v>0</v>
      </c>
      <c r="C3" s="18"/>
      <c r="E3" s="9">
        <v>1</v>
      </c>
      <c r="G3" s="13">
        <f t="shared" ref="G3:G20" si="0">B3-E3</f>
        <v>-1</v>
      </c>
      <c r="H3">
        <f t="shared" ref="H3:H20" si="1">G3-E3</f>
        <v>-2</v>
      </c>
      <c r="I3">
        <f t="shared" ref="I3:I20" si="2">H3-E3</f>
        <v>-3</v>
      </c>
      <c r="J3" s="14">
        <f t="shared" ref="J3:J19" si="3">I3-E3</f>
        <v>-4</v>
      </c>
    </row>
    <row r="4" spans="1:12" x14ac:dyDescent="0.3">
      <c r="A4" s="13" t="s">
        <v>17</v>
      </c>
      <c r="B4" s="1">
        <v>0</v>
      </c>
      <c r="C4" s="18"/>
      <c r="E4" s="9">
        <v>1</v>
      </c>
      <c r="G4" s="13">
        <f t="shared" si="0"/>
        <v>-1</v>
      </c>
      <c r="H4">
        <f t="shared" si="1"/>
        <v>-2</v>
      </c>
      <c r="I4">
        <f t="shared" si="2"/>
        <v>-3</v>
      </c>
      <c r="J4" s="14">
        <f t="shared" si="3"/>
        <v>-4</v>
      </c>
    </row>
    <row r="5" spans="1:12" x14ac:dyDescent="0.3">
      <c r="A5" s="13" t="s">
        <v>15</v>
      </c>
      <c r="B5" s="1">
        <v>2</v>
      </c>
      <c r="C5" s="18"/>
      <c r="E5" s="9">
        <v>1</v>
      </c>
      <c r="G5" s="13">
        <f t="shared" si="0"/>
        <v>1</v>
      </c>
      <c r="H5">
        <f t="shared" si="1"/>
        <v>0</v>
      </c>
      <c r="I5">
        <f t="shared" si="2"/>
        <v>-1</v>
      </c>
      <c r="J5" s="14">
        <f t="shared" si="3"/>
        <v>-2</v>
      </c>
      <c r="L5" s="21"/>
    </row>
    <row r="6" spans="1:12" x14ac:dyDescent="0.3">
      <c r="A6" s="13" t="s">
        <v>11</v>
      </c>
      <c r="B6" s="1">
        <v>2</v>
      </c>
      <c r="C6" s="18"/>
      <c r="E6" s="9">
        <v>1</v>
      </c>
      <c r="G6" s="13">
        <f t="shared" si="0"/>
        <v>1</v>
      </c>
      <c r="H6">
        <f t="shared" si="1"/>
        <v>0</v>
      </c>
      <c r="I6">
        <f t="shared" si="2"/>
        <v>-1</v>
      </c>
      <c r="J6" s="14">
        <f t="shared" si="3"/>
        <v>-2</v>
      </c>
      <c r="L6" s="22"/>
    </row>
    <row r="7" spans="1:12" x14ac:dyDescent="0.3">
      <c r="A7" s="13" t="s">
        <v>10</v>
      </c>
      <c r="B7" s="1">
        <v>2</v>
      </c>
      <c r="C7" s="18"/>
      <c r="E7" s="9">
        <v>2</v>
      </c>
      <c r="G7" s="13">
        <f t="shared" si="0"/>
        <v>0</v>
      </c>
      <c r="H7">
        <f t="shared" si="1"/>
        <v>-2</v>
      </c>
      <c r="I7">
        <f t="shared" si="2"/>
        <v>-4</v>
      </c>
      <c r="J7" s="14">
        <f t="shared" si="3"/>
        <v>-6</v>
      </c>
      <c r="L7" s="21"/>
    </row>
    <row r="8" spans="1:12" x14ac:dyDescent="0.3">
      <c r="A8" s="13" t="s">
        <v>2</v>
      </c>
      <c r="B8" s="1">
        <v>2</v>
      </c>
      <c r="C8" s="18"/>
      <c r="E8" s="9">
        <v>5</v>
      </c>
      <c r="G8" s="13">
        <f t="shared" si="0"/>
        <v>-3</v>
      </c>
      <c r="H8">
        <f t="shared" si="1"/>
        <v>-8</v>
      </c>
      <c r="I8">
        <f t="shared" si="2"/>
        <v>-13</v>
      </c>
      <c r="J8" s="14">
        <f t="shared" si="3"/>
        <v>-18</v>
      </c>
    </row>
    <row r="9" spans="1:12" x14ac:dyDescent="0.3">
      <c r="A9" s="13" t="s">
        <v>29</v>
      </c>
      <c r="B9" s="1">
        <v>3</v>
      </c>
      <c r="C9" s="18"/>
      <c r="E9" s="9">
        <v>1</v>
      </c>
      <c r="G9" s="13">
        <f t="shared" si="0"/>
        <v>2</v>
      </c>
      <c r="H9">
        <f t="shared" si="1"/>
        <v>1</v>
      </c>
      <c r="I9">
        <f t="shared" si="2"/>
        <v>0</v>
      </c>
      <c r="J9" s="14">
        <f t="shared" si="3"/>
        <v>-1</v>
      </c>
    </row>
    <row r="10" spans="1:12" x14ac:dyDescent="0.3">
      <c r="A10" s="13" t="s">
        <v>38</v>
      </c>
      <c r="B10" s="1">
        <v>3</v>
      </c>
      <c r="C10" s="18" t="s">
        <v>31</v>
      </c>
      <c r="E10" s="9">
        <v>1</v>
      </c>
      <c r="G10" s="13">
        <f t="shared" si="0"/>
        <v>2</v>
      </c>
      <c r="H10">
        <f t="shared" si="1"/>
        <v>1</v>
      </c>
      <c r="I10">
        <f t="shared" si="2"/>
        <v>0</v>
      </c>
      <c r="J10" s="14">
        <f t="shared" si="3"/>
        <v>-1</v>
      </c>
    </row>
    <row r="11" spans="1:12" x14ac:dyDescent="0.3">
      <c r="A11" s="13" t="s">
        <v>7</v>
      </c>
      <c r="B11" s="1">
        <v>3</v>
      </c>
      <c r="C11" s="18"/>
      <c r="E11" s="9">
        <v>2</v>
      </c>
      <c r="G11" s="13">
        <f t="shared" si="0"/>
        <v>1</v>
      </c>
      <c r="H11">
        <f t="shared" si="1"/>
        <v>-1</v>
      </c>
      <c r="I11">
        <f t="shared" si="2"/>
        <v>-3</v>
      </c>
      <c r="J11" s="14">
        <f t="shared" si="3"/>
        <v>-5</v>
      </c>
    </row>
    <row r="12" spans="1:12" x14ac:dyDescent="0.3">
      <c r="A12" s="13" t="s">
        <v>16</v>
      </c>
      <c r="B12" s="1">
        <v>4</v>
      </c>
      <c r="C12" s="18"/>
      <c r="E12" s="9">
        <v>1</v>
      </c>
      <c r="G12" s="13">
        <f t="shared" si="0"/>
        <v>3</v>
      </c>
      <c r="H12">
        <f t="shared" si="1"/>
        <v>2</v>
      </c>
      <c r="I12">
        <f t="shared" si="2"/>
        <v>1</v>
      </c>
      <c r="J12" s="14">
        <f t="shared" si="3"/>
        <v>0</v>
      </c>
    </row>
    <row r="13" spans="1:12" x14ac:dyDescent="0.3">
      <c r="A13" s="13" t="s">
        <v>12</v>
      </c>
      <c r="B13" s="1">
        <v>4</v>
      </c>
      <c r="C13" s="18"/>
      <c r="E13" s="9">
        <v>2</v>
      </c>
      <c r="G13" s="13">
        <f t="shared" si="0"/>
        <v>2</v>
      </c>
      <c r="H13">
        <f t="shared" si="1"/>
        <v>0</v>
      </c>
      <c r="I13">
        <f t="shared" si="2"/>
        <v>-2</v>
      </c>
      <c r="J13" s="14">
        <f t="shared" si="3"/>
        <v>-4</v>
      </c>
    </row>
    <row r="14" spans="1:12" x14ac:dyDescent="0.3">
      <c r="A14" s="13" t="s">
        <v>14</v>
      </c>
      <c r="B14" s="1">
        <v>4</v>
      </c>
      <c r="C14" s="18"/>
      <c r="E14" s="9">
        <v>2</v>
      </c>
      <c r="G14" s="13">
        <f t="shared" si="0"/>
        <v>2</v>
      </c>
      <c r="H14">
        <f t="shared" si="1"/>
        <v>0</v>
      </c>
      <c r="I14">
        <f t="shared" si="2"/>
        <v>-2</v>
      </c>
      <c r="J14" s="14">
        <f t="shared" si="3"/>
        <v>-4</v>
      </c>
    </row>
    <row r="15" spans="1:12" x14ac:dyDescent="0.3">
      <c r="A15" s="13" t="s">
        <v>0</v>
      </c>
      <c r="B15" s="1">
        <v>6</v>
      </c>
      <c r="C15" s="18"/>
      <c r="E15" s="9">
        <v>3</v>
      </c>
      <c r="G15" s="13">
        <f t="shared" si="0"/>
        <v>3</v>
      </c>
      <c r="H15">
        <f t="shared" si="1"/>
        <v>0</v>
      </c>
      <c r="I15">
        <f t="shared" si="2"/>
        <v>-3</v>
      </c>
      <c r="J15" s="14">
        <f t="shared" si="3"/>
        <v>-6</v>
      </c>
    </row>
    <row r="16" spans="1:12" x14ac:dyDescent="0.3">
      <c r="A16" s="13" t="s">
        <v>9</v>
      </c>
      <c r="B16" s="1">
        <v>8</v>
      </c>
      <c r="C16" s="18"/>
      <c r="E16" s="9">
        <v>2</v>
      </c>
      <c r="G16" s="13">
        <f t="shared" si="0"/>
        <v>6</v>
      </c>
      <c r="H16">
        <f t="shared" si="1"/>
        <v>4</v>
      </c>
      <c r="I16">
        <f t="shared" si="2"/>
        <v>2</v>
      </c>
      <c r="J16" s="14">
        <f t="shared" si="3"/>
        <v>0</v>
      </c>
    </row>
    <row r="17" spans="1:10" x14ac:dyDescent="0.3">
      <c r="A17" s="13" t="s">
        <v>5</v>
      </c>
      <c r="B17" s="1">
        <v>10</v>
      </c>
      <c r="C17" s="18" t="s">
        <v>30</v>
      </c>
      <c r="E17" s="9">
        <v>3</v>
      </c>
      <c r="G17" s="13">
        <f t="shared" si="0"/>
        <v>7</v>
      </c>
      <c r="H17">
        <f t="shared" si="1"/>
        <v>4</v>
      </c>
      <c r="I17">
        <f t="shared" si="2"/>
        <v>1</v>
      </c>
      <c r="J17" s="14">
        <f t="shared" si="3"/>
        <v>-2</v>
      </c>
    </row>
    <row r="18" spans="1:10" x14ac:dyDescent="0.3">
      <c r="A18" s="13" t="s">
        <v>13</v>
      </c>
      <c r="B18" s="1">
        <v>11</v>
      </c>
      <c r="C18" s="18"/>
      <c r="E18" s="9">
        <v>2</v>
      </c>
      <c r="G18" s="13">
        <f t="shared" si="0"/>
        <v>9</v>
      </c>
      <c r="H18">
        <f t="shared" si="1"/>
        <v>7</v>
      </c>
      <c r="I18">
        <f t="shared" si="2"/>
        <v>5</v>
      </c>
      <c r="J18" s="14">
        <f t="shared" si="3"/>
        <v>3</v>
      </c>
    </row>
    <row r="19" spans="1:10" x14ac:dyDescent="0.3">
      <c r="A19" s="13" t="s">
        <v>6</v>
      </c>
      <c r="B19" s="1">
        <v>11</v>
      </c>
      <c r="C19" s="18"/>
      <c r="E19" s="9">
        <v>10</v>
      </c>
      <c r="G19" s="13">
        <f t="shared" si="0"/>
        <v>1</v>
      </c>
      <c r="H19">
        <f t="shared" si="1"/>
        <v>-9</v>
      </c>
      <c r="I19">
        <f t="shared" si="2"/>
        <v>-19</v>
      </c>
      <c r="J19" s="14">
        <f t="shared" si="3"/>
        <v>-29</v>
      </c>
    </row>
    <row r="20" spans="1:10" ht="15" thickBot="1" x14ac:dyDescent="0.35">
      <c r="A20" s="15" t="s">
        <v>8</v>
      </c>
      <c r="B20" s="19">
        <v>16</v>
      </c>
      <c r="C20" s="20"/>
      <c r="E20" s="10">
        <v>2</v>
      </c>
      <c r="G20" s="15">
        <f t="shared" si="0"/>
        <v>14</v>
      </c>
      <c r="H20" s="16">
        <f t="shared" si="1"/>
        <v>12</v>
      </c>
      <c r="I20" s="16">
        <f t="shared" si="2"/>
        <v>10</v>
      </c>
      <c r="J20" s="17">
        <f>G20-E20</f>
        <v>12</v>
      </c>
    </row>
  </sheetData>
  <autoFilter ref="A2:L2" xr:uid="{46FF6822-CB8E-4241-A738-7CECF11ED156}">
    <sortState xmlns:xlrd2="http://schemas.microsoft.com/office/spreadsheetml/2017/richdata2" ref="A4:L20">
      <sortCondition ref="B2"/>
    </sortState>
  </autoFilter>
  <mergeCells count="6">
    <mergeCell ref="L1:L2"/>
    <mergeCell ref="A1:A2"/>
    <mergeCell ref="B1:B2"/>
    <mergeCell ref="C1:C2"/>
    <mergeCell ref="E1:E2"/>
    <mergeCell ref="G1:J1"/>
  </mergeCells>
  <conditionalFormatting sqref="A3:B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:C3">
    <cfRule type="expression" priority="3">
      <formula>$G$3+$H$3+$I$3+$J$3</formula>
    </cfRule>
  </conditionalFormatting>
  <conditionalFormatting sqref="B3:B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J20">
    <cfRule type="cellIs" dxfId="5" priority="7" operator="greaterThan">
      <formula>$E$3</formula>
    </cfRule>
    <cfRule type="cellIs" dxfId="4" priority="8" operator="between">
      <formula>0</formula>
      <formula>1</formula>
    </cfRule>
    <cfRule type="cellIs" dxfId="3" priority="9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D3B48-E0B3-4590-8FDC-AB8D6DEA2171}">
  <dimension ref="A1:B16"/>
  <sheetViews>
    <sheetView workbookViewId="0">
      <selection sqref="A1:B6"/>
    </sheetView>
  </sheetViews>
  <sheetFormatPr defaultColWidth="8.77734375" defaultRowHeight="14.4" x14ac:dyDescent="0.3"/>
  <cols>
    <col min="1" max="1" width="78.33203125" bestFit="1" customWidth="1"/>
  </cols>
  <sheetData>
    <row r="1" spans="1:2" x14ac:dyDescent="0.3">
      <c r="A1" s="2" t="s">
        <v>1</v>
      </c>
      <c r="B1" s="2" t="s">
        <v>26</v>
      </c>
    </row>
    <row r="2" spans="1:2" x14ac:dyDescent="0.3">
      <c r="A2" s="13" t="s">
        <v>3</v>
      </c>
      <c r="B2">
        <f>ABS(VLOOKUP(A2,'Situazione Gen'!A1:J20,10,FALSE))</f>
        <v>4</v>
      </c>
    </row>
    <row r="3" spans="1:2" x14ac:dyDescent="0.3">
      <c r="A3" s="13" t="s">
        <v>17</v>
      </c>
      <c r="B3">
        <f>ABS(VLOOKUP(A3,'Situazione Gen'!A2:J21,10,FALSE))</f>
        <v>4</v>
      </c>
    </row>
    <row r="4" spans="1:2" x14ac:dyDescent="0.3">
      <c r="A4" s="13" t="s">
        <v>10</v>
      </c>
      <c r="B4">
        <f>ABS(VLOOKUP(A4,'Situazione Gen'!A5:J24,10,FALSE))</f>
        <v>6</v>
      </c>
    </row>
    <row r="5" spans="1:2" x14ac:dyDescent="0.3">
      <c r="A5" s="13" t="s">
        <v>2</v>
      </c>
      <c r="B5">
        <f>ABS(VLOOKUP(A5,'Situazione Gen'!A6:J25,10,FALSE))</f>
        <v>18</v>
      </c>
    </row>
    <row r="6" spans="1:2" x14ac:dyDescent="0.3">
      <c r="A6" s="13" t="s">
        <v>6</v>
      </c>
      <c r="B6">
        <f>ABS(VLOOKUP(A6,'Situazione Gen'!A7:J26,10,FALSE))</f>
        <v>29</v>
      </c>
    </row>
    <row r="7" spans="1:2" x14ac:dyDescent="0.3">
      <c r="A7" s="13"/>
    </row>
    <row r="8" spans="1:2" x14ac:dyDescent="0.3">
      <c r="A8" s="13"/>
    </row>
    <row r="9" spans="1:2" x14ac:dyDescent="0.3">
      <c r="A9" s="13"/>
    </row>
    <row r="10" spans="1:2" x14ac:dyDescent="0.3">
      <c r="A10" s="13"/>
    </row>
    <row r="11" spans="1:2" x14ac:dyDescent="0.3">
      <c r="A11" s="13"/>
    </row>
    <row r="12" spans="1:2" x14ac:dyDescent="0.3">
      <c r="A12" s="13"/>
    </row>
    <row r="13" spans="1:2" x14ac:dyDescent="0.3">
      <c r="A13" s="13"/>
    </row>
    <row r="14" spans="1:2" x14ac:dyDescent="0.3">
      <c r="A14" s="13"/>
    </row>
    <row r="15" spans="1:2" x14ac:dyDescent="0.3">
      <c r="A15" s="13"/>
    </row>
    <row r="16" spans="1:2" x14ac:dyDescent="0.3">
      <c r="A16" s="13"/>
    </row>
  </sheetData>
  <autoFilter ref="A1:B1" xr:uid="{C5DD3B48-E0B3-4590-8FDC-AB8D6DEA2171}">
    <sortState xmlns:xlrd2="http://schemas.microsoft.com/office/spreadsheetml/2017/richdata2" ref="A2:B19">
      <sortCondition ref="B1"/>
    </sortState>
  </autoFilter>
  <conditionalFormatting sqref="A2">
    <cfRule type="expression" priority="3">
      <formula>$G$3+$H$3+$I$3+$J$3</formula>
    </cfRule>
  </conditionalFormatting>
  <conditionalFormatting sqref="A2:A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:A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2E085-BBCA-4126-AF6B-313BD5110F77}">
  <sheetPr filterMode="1"/>
  <dimension ref="A1:E74"/>
  <sheetViews>
    <sheetView workbookViewId="0">
      <pane ySplit="1" topLeftCell="A2" activePane="bottomLeft" state="frozen"/>
      <selection pane="bottomLeft" activeCell="B2" sqref="B2:B65"/>
    </sheetView>
  </sheetViews>
  <sheetFormatPr defaultColWidth="8.77734375" defaultRowHeight="28.8" customHeight="1" x14ac:dyDescent="0.3"/>
  <cols>
    <col min="1" max="1" width="62.77734375" bestFit="1" customWidth="1"/>
    <col min="4" max="4" width="11.77734375" style="4" bestFit="1" customWidth="1"/>
    <col min="5" max="5" width="19.109375" style="1" bestFit="1" customWidth="1"/>
  </cols>
  <sheetData>
    <row r="1" spans="1:5" s="23" customFormat="1" ht="28.8" customHeight="1" x14ac:dyDescent="0.3">
      <c r="A1" s="23" t="s">
        <v>1</v>
      </c>
      <c r="B1" s="23" t="s">
        <v>58</v>
      </c>
      <c r="C1" s="23" t="s">
        <v>59</v>
      </c>
      <c r="D1" s="23" t="s">
        <v>56</v>
      </c>
      <c r="E1" s="23" t="s">
        <v>57</v>
      </c>
    </row>
    <row r="2" spans="1:5" ht="28.8" customHeight="1" x14ac:dyDescent="0.3">
      <c r="A2" t="s">
        <v>39</v>
      </c>
      <c r="B2" s="1">
        <v>5</v>
      </c>
      <c r="C2" s="1">
        <v>5</v>
      </c>
      <c r="D2" s="4">
        <v>47178</v>
      </c>
      <c r="E2" s="3" t="s">
        <v>62</v>
      </c>
    </row>
    <row r="3" spans="1:5" ht="28.8" customHeight="1" x14ac:dyDescent="0.3">
      <c r="A3" t="s">
        <v>40</v>
      </c>
      <c r="B3" s="1">
        <v>1</v>
      </c>
      <c r="C3" s="1">
        <v>1</v>
      </c>
      <c r="D3" s="4">
        <v>45778</v>
      </c>
      <c r="E3" s="3" t="s">
        <v>62</v>
      </c>
    </row>
    <row r="4" spans="1:5" ht="28.8" hidden="1" customHeight="1" x14ac:dyDescent="0.3">
      <c r="A4" t="s">
        <v>45</v>
      </c>
      <c r="B4" s="1">
        <v>2</v>
      </c>
      <c r="C4" s="1">
        <v>2</v>
      </c>
      <c r="D4" s="4">
        <v>46296</v>
      </c>
      <c r="E4" s="3" t="s">
        <v>63</v>
      </c>
    </row>
    <row r="5" spans="1:5" ht="28.8" hidden="1" customHeight="1" x14ac:dyDescent="0.3">
      <c r="A5" t="s">
        <v>43</v>
      </c>
      <c r="B5" s="1">
        <v>3</v>
      </c>
      <c r="C5" s="1">
        <v>3</v>
      </c>
      <c r="D5" s="4">
        <v>46204</v>
      </c>
      <c r="E5" s="3" t="s">
        <v>61</v>
      </c>
    </row>
    <row r="6" spans="1:5" ht="28.8" hidden="1" customHeight="1" x14ac:dyDescent="0.3">
      <c r="A6" t="s">
        <v>46</v>
      </c>
      <c r="B6" s="1">
        <v>2</v>
      </c>
      <c r="C6" s="1">
        <v>2</v>
      </c>
      <c r="D6" s="4">
        <v>45839</v>
      </c>
      <c r="E6" s="3" t="s">
        <v>61</v>
      </c>
    </row>
    <row r="7" spans="1:5" ht="28.8" customHeight="1" x14ac:dyDescent="0.3">
      <c r="A7" t="s">
        <v>46</v>
      </c>
      <c r="B7" s="1">
        <v>2</v>
      </c>
      <c r="C7" s="1">
        <v>2</v>
      </c>
      <c r="D7" s="4">
        <v>45839</v>
      </c>
      <c r="E7" s="3" t="s">
        <v>62</v>
      </c>
    </row>
    <row r="8" spans="1:5" ht="28.8" hidden="1" customHeight="1" x14ac:dyDescent="0.3">
      <c r="A8" t="s">
        <v>44</v>
      </c>
      <c r="B8" s="1">
        <v>2</v>
      </c>
      <c r="C8" s="1">
        <v>2</v>
      </c>
      <c r="D8" s="4">
        <v>45870</v>
      </c>
      <c r="E8" s="3" t="s">
        <v>60</v>
      </c>
    </row>
    <row r="9" spans="1:5" ht="28.8" hidden="1" customHeight="1" x14ac:dyDescent="0.3">
      <c r="A9" t="s">
        <v>47</v>
      </c>
      <c r="B9" s="1">
        <v>1</v>
      </c>
      <c r="C9" s="1">
        <v>1</v>
      </c>
      <c r="D9" s="4">
        <v>45901</v>
      </c>
      <c r="E9" s="3" t="s">
        <v>60</v>
      </c>
    </row>
    <row r="10" spans="1:5" ht="28.8" hidden="1" customHeight="1" x14ac:dyDescent="0.3">
      <c r="A10" t="s">
        <v>47</v>
      </c>
      <c r="B10" s="1">
        <v>1</v>
      </c>
      <c r="C10" s="1">
        <v>1</v>
      </c>
      <c r="D10" s="4">
        <v>45901</v>
      </c>
      <c r="E10" s="3" t="s">
        <v>61</v>
      </c>
    </row>
    <row r="11" spans="1:5" ht="28.8" customHeight="1" x14ac:dyDescent="0.3">
      <c r="A11" t="s">
        <v>47</v>
      </c>
      <c r="B11" s="1">
        <v>1</v>
      </c>
      <c r="C11" s="1">
        <v>1</v>
      </c>
      <c r="D11" s="4">
        <v>45901</v>
      </c>
      <c r="E11" s="3" t="s">
        <v>62</v>
      </c>
    </row>
    <row r="12" spans="1:5" ht="28.8" hidden="1" customHeight="1" x14ac:dyDescent="0.3">
      <c r="A12" t="s">
        <v>45</v>
      </c>
      <c r="B12" s="1">
        <v>2</v>
      </c>
      <c r="C12" s="1">
        <v>2</v>
      </c>
      <c r="D12" s="4">
        <v>45931</v>
      </c>
      <c r="E12" s="3" t="s">
        <v>60</v>
      </c>
    </row>
    <row r="13" spans="1:5" ht="28.8" customHeight="1" x14ac:dyDescent="0.3">
      <c r="A13" t="s">
        <v>45</v>
      </c>
      <c r="B13" s="1">
        <v>2</v>
      </c>
      <c r="C13" s="1">
        <v>2</v>
      </c>
      <c r="D13" s="4">
        <v>45931</v>
      </c>
      <c r="E13" s="3" t="s">
        <v>62</v>
      </c>
    </row>
    <row r="14" spans="1:5" ht="28.8" hidden="1" customHeight="1" x14ac:dyDescent="0.3">
      <c r="A14" t="s">
        <v>42</v>
      </c>
      <c r="B14" s="1">
        <v>10</v>
      </c>
      <c r="C14" s="1">
        <v>10</v>
      </c>
      <c r="D14" s="4">
        <v>45962</v>
      </c>
      <c r="E14" s="3" t="s">
        <v>60</v>
      </c>
    </row>
    <row r="15" spans="1:5" ht="28.8" hidden="1" customHeight="1" x14ac:dyDescent="0.3">
      <c r="A15" t="s">
        <v>48</v>
      </c>
      <c r="B15" s="1">
        <v>1</v>
      </c>
      <c r="C15" s="1">
        <v>1</v>
      </c>
      <c r="D15" s="4">
        <v>45962</v>
      </c>
      <c r="E15" s="3" t="s">
        <v>60</v>
      </c>
    </row>
    <row r="16" spans="1:5" ht="28.8" hidden="1" customHeight="1" x14ac:dyDescent="0.3">
      <c r="A16" t="s">
        <v>51</v>
      </c>
      <c r="B16" s="1">
        <v>3</v>
      </c>
      <c r="C16" s="1">
        <v>3</v>
      </c>
      <c r="D16" s="4">
        <v>45962</v>
      </c>
      <c r="E16" s="3" t="s">
        <v>60</v>
      </c>
    </row>
    <row r="17" spans="1:5" ht="28.8" hidden="1" customHeight="1" x14ac:dyDescent="0.3">
      <c r="A17" t="s">
        <v>42</v>
      </c>
      <c r="B17" s="1">
        <v>10</v>
      </c>
      <c r="C17" s="1">
        <v>10</v>
      </c>
      <c r="D17" s="4">
        <v>45962</v>
      </c>
      <c r="E17" s="3" t="s">
        <v>61</v>
      </c>
    </row>
    <row r="18" spans="1:5" ht="28.8" hidden="1" customHeight="1" x14ac:dyDescent="0.3">
      <c r="A18" t="s">
        <v>48</v>
      </c>
      <c r="B18" s="1">
        <v>1</v>
      </c>
      <c r="C18" s="1">
        <v>1</v>
      </c>
      <c r="D18" s="4">
        <v>45962</v>
      </c>
      <c r="E18" s="3" t="s">
        <v>61</v>
      </c>
    </row>
    <row r="19" spans="1:5" ht="28.8" hidden="1" customHeight="1" x14ac:dyDescent="0.3">
      <c r="A19" t="s">
        <v>51</v>
      </c>
      <c r="B19" s="1">
        <v>3</v>
      </c>
      <c r="C19" s="1">
        <v>3</v>
      </c>
      <c r="D19" s="4">
        <v>45962</v>
      </c>
      <c r="E19" s="3" t="s">
        <v>61</v>
      </c>
    </row>
    <row r="20" spans="1:5" ht="28.8" customHeight="1" x14ac:dyDescent="0.3">
      <c r="A20" t="s">
        <v>42</v>
      </c>
      <c r="B20" s="1">
        <v>10</v>
      </c>
      <c r="C20" s="1">
        <v>10</v>
      </c>
      <c r="D20" s="4">
        <v>45962</v>
      </c>
      <c r="E20" s="3" t="s">
        <v>62</v>
      </c>
    </row>
    <row r="21" spans="1:5" ht="28.8" customHeight="1" x14ac:dyDescent="0.3">
      <c r="A21" t="s">
        <v>48</v>
      </c>
      <c r="B21" s="1">
        <v>1</v>
      </c>
      <c r="C21" s="1">
        <v>1</v>
      </c>
      <c r="D21" s="4">
        <v>45962</v>
      </c>
      <c r="E21" s="3" t="s">
        <v>62</v>
      </c>
    </row>
    <row r="22" spans="1:5" ht="28.8" customHeight="1" x14ac:dyDescent="0.3">
      <c r="A22" t="s">
        <v>50</v>
      </c>
      <c r="B22" s="1">
        <v>2</v>
      </c>
      <c r="C22" s="1">
        <v>2</v>
      </c>
      <c r="D22" s="4">
        <v>45992</v>
      </c>
      <c r="E22" s="3" t="s">
        <v>62</v>
      </c>
    </row>
    <row r="23" spans="1:5" ht="28.8" customHeight="1" x14ac:dyDescent="0.3">
      <c r="A23" t="s">
        <v>51</v>
      </c>
      <c r="B23" s="1">
        <v>3</v>
      </c>
      <c r="C23" s="1">
        <v>3</v>
      </c>
      <c r="D23" s="4">
        <v>45962</v>
      </c>
      <c r="E23" s="3" t="s">
        <v>62</v>
      </c>
    </row>
    <row r="24" spans="1:5" ht="28.8" hidden="1" customHeight="1" x14ac:dyDescent="0.3">
      <c r="A24" t="s">
        <v>39</v>
      </c>
      <c r="B24" s="1">
        <v>5</v>
      </c>
      <c r="C24" s="1">
        <v>5</v>
      </c>
      <c r="D24" s="4">
        <v>45962</v>
      </c>
      <c r="E24" s="3" t="s">
        <v>63</v>
      </c>
    </row>
    <row r="25" spans="1:5" ht="28.8" hidden="1" customHeight="1" x14ac:dyDescent="0.3">
      <c r="A25" t="s">
        <v>50</v>
      </c>
      <c r="B25" s="1">
        <v>2</v>
      </c>
      <c r="C25" s="1">
        <v>2</v>
      </c>
      <c r="D25" s="4">
        <v>45992</v>
      </c>
      <c r="E25" s="3" t="s">
        <v>60</v>
      </c>
    </row>
    <row r="26" spans="1:5" ht="28.8" hidden="1" customHeight="1" x14ac:dyDescent="0.3">
      <c r="A26" t="s">
        <v>41</v>
      </c>
      <c r="B26" s="1">
        <v>1</v>
      </c>
      <c r="C26" s="1">
        <v>1</v>
      </c>
      <c r="D26" s="4">
        <v>46054</v>
      </c>
      <c r="E26" s="3" t="s">
        <v>60</v>
      </c>
    </row>
    <row r="27" spans="1:5" ht="28.8" hidden="1" customHeight="1" x14ac:dyDescent="0.3">
      <c r="A27" t="s">
        <v>64</v>
      </c>
      <c r="B27" s="1">
        <v>2</v>
      </c>
      <c r="C27" s="1">
        <v>2</v>
      </c>
      <c r="D27" s="4">
        <v>46054</v>
      </c>
      <c r="E27" s="3" t="s">
        <v>60</v>
      </c>
    </row>
    <row r="28" spans="1:5" ht="28.8" hidden="1" customHeight="1" x14ac:dyDescent="0.3">
      <c r="A28" t="s">
        <v>41</v>
      </c>
      <c r="B28" s="1">
        <v>1</v>
      </c>
      <c r="C28" s="1">
        <v>1</v>
      </c>
      <c r="D28" s="4">
        <v>46054</v>
      </c>
      <c r="E28" s="3" t="s">
        <v>61</v>
      </c>
    </row>
    <row r="29" spans="1:5" ht="28.8" customHeight="1" x14ac:dyDescent="0.3">
      <c r="A29" t="s">
        <v>41</v>
      </c>
      <c r="B29" s="1">
        <v>1</v>
      </c>
      <c r="C29" s="1">
        <v>1</v>
      </c>
      <c r="D29" s="4">
        <v>46054</v>
      </c>
      <c r="E29" s="3" t="s">
        <v>62</v>
      </c>
    </row>
    <row r="30" spans="1:5" ht="28.8" hidden="1" customHeight="1" x14ac:dyDescent="0.3">
      <c r="A30" t="s">
        <v>41</v>
      </c>
      <c r="B30" s="1">
        <v>1</v>
      </c>
      <c r="C30" s="1">
        <v>1</v>
      </c>
      <c r="D30" s="4">
        <v>46054</v>
      </c>
      <c r="E30" s="3" t="s">
        <v>63</v>
      </c>
    </row>
    <row r="31" spans="1:5" ht="28.8" hidden="1" customHeight="1" x14ac:dyDescent="0.3">
      <c r="A31" t="s">
        <v>52</v>
      </c>
      <c r="B31" s="1">
        <v>2</v>
      </c>
      <c r="C31" s="1">
        <v>2</v>
      </c>
      <c r="D31" s="4">
        <v>46082</v>
      </c>
      <c r="E31" s="3" t="s">
        <v>60</v>
      </c>
    </row>
    <row r="32" spans="1:5" ht="28.8" hidden="1" customHeight="1" x14ac:dyDescent="0.3">
      <c r="A32" t="s">
        <v>52</v>
      </c>
      <c r="B32" s="1">
        <v>2</v>
      </c>
      <c r="C32" s="1">
        <v>2</v>
      </c>
      <c r="D32" s="4">
        <v>46082</v>
      </c>
      <c r="E32" s="3" t="s">
        <v>61</v>
      </c>
    </row>
    <row r="33" spans="1:5" ht="28.8" hidden="1" customHeight="1" x14ac:dyDescent="0.3">
      <c r="A33" t="s">
        <v>46</v>
      </c>
      <c r="B33" s="1">
        <v>2</v>
      </c>
      <c r="C33" s="1">
        <v>2</v>
      </c>
      <c r="D33" s="4">
        <v>46174</v>
      </c>
      <c r="E33" s="3" t="s">
        <v>63</v>
      </c>
    </row>
    <row r="34" spans="1:5" ht="28.8" hidden="1" customHeight="1" x14ac:dyDescent="0.3">
      <c r="A34" t="s">
        <v>40</v>
      </c>
      <c r="B34" s="1">
        <v>1</v>
      </c>
      <c r="C34" s="1">
        <v>1</v>
      </c>
      <c r="D34" s="4">
        <v>46266</v>
      </c>
      <c r="E34" s="3" t="s">
        <v>63</v>
      </c>
    </row>
    <row r="35" spans="1:5" ht="28.8" customHeight="1" x14ac:dyDescent="0.3">
      <c r="A35" t="s">
        <v>44</v>
      </c>
      <c r="B35" s="1">
        <v>2</v>
      </c>
      <c r="C35" s="1">
        <v>2</v>
      </c>
      <c r="D35" s="4">
        <v>46296</v>
      </c>
      <c r="E35" s="3" t="s">
        <v>62</v>
      </c>
    </row>
    <row r="36" spans="1:5" ht="28.8" hidden="1" customHeight="1" x14ac:dyDescent="0.3">
      <c r="A36" t="s">
        <v>44</v>
      </c>
      <c r="B36" s="1">
        <v>2</v>
      </c>
      <c r="C36" s="1">
        <v>2</v>
      </c>
      <c r="D36" s="4">
        <v>46296</v>
      </c>
      <c r="E36" s="3" t="s">
        <v>63</v>
      </c>
    </row>
    <row r="37" spans="1:5" ht="28.8" hidden="1" customHeight="1" x14ac:dyDescent="0.3">
      <c r="A37" t="s">
        <v>39</v>
      </c>
      <c r="B37" s="1">
        <v>5</v>
      </c>
      <c r="C37" s="1">
        <v>5</v>
      </c>
      <c r="D37" s="4">
        <v>46388</v>
      </c>
      <c r="E37" s="3" t="s">
        <v>61</v>
      </c>
    </row>
    <row r="38" spans="1:5" ht="28.8" hidden="1" customHeight="1" x14ac:dyDescent="0.3">
      <c r="A38" t="s">
        <v>42</v>
      </c>
      <c r="B38" s="1">
        <v>10</v>
      </c>
      <c r="C38" s="1">
        <v>10</v>
      </c>
      <c r="D38" s="4">
        <v>46388</v>
      </c>
      <c r="E38" s="3" t="s">
        <v>63</v>
      </c>
    </row>
    <row r="39" spans="1:5" ht="28.8" hidden="1" customHeight="1" x14ac:dyDescent="0.3">
      <c r="A39" t="s">
        <v>43</v>
      </c>
      <c r="B39" s="1">
        <v>3</v>
      </c>
      <c r="C39" s="1">
        <v>3</v>
      </c>
      <c r="D39" s="4">
        <v>46419</v>
      </c>
      <c r="E39" s="3" t="s">
        <v>60</v>
      </c>
    </row>
    <row r="40" spans="1:5" ht="28.8" customHeight="1" x14ac:dyDescent="0.3">
      <c r="A40" t="s">
        <v>43</v>
      </c>
      <c r="B40" s="1">
        <v>3</v>
      </c>
      <c r="C40" s="1">
        <v>3</v>
      </c>
      <c r="D40" s="4">
        <v>46419</v>
      </c>
      <c r="E40" s="3" t="s">
        <v>62</v>
      </c>
    </row>
    <row r="41" spans="1:5" ht="28.8" hidden="1" customHeight="1" x14ac:dyDescent="0.3">
      <c r="A41" t="s">
        <v>43</v>
      </c>
      <c r="B41" s="1">
        <v>3</v>
      </c>
      <c r="C41" s="1">
        <v>3</v>
      </c>
      <c r="D41" s="4">
        <v>46419</v>
      </c>
      <c r="E41" s="3" t="s">
        <v>63</v>
      </c>
    </row>
    <row r="42" spans="1:5" ht="28.8" hidden="1" customHeight="1" x14ac:dyDescent="0.3">
      <c r="A42" t="s">
        <v>48</v>
      </c>
      <c r="B42" s="1">
        <v>1</v>
      </c>
      <c r="C42" s="1">
        <v>1</v>
      </c>
      <c r="D42" s="4">
        <v>46419</v>
      </c>
      <c r="E42" s="3" t="s">
        <v>63</v>
      </c>
    </row>
    <row r="43" spans="1:5" ht="28.8" hidden="1" customHeight="1" x14ac:dyDescent="0.3">
      <c r="A43" t="s">
        <v>47</v>
      </c>
      <c r="B43" s="1">
        <v>1</v>
      </c>
      <c r="C43" s="1">
        <v>1</v>
      </c>
      <c r="D43" s="4">
        <v>46447</v>
      </c>
      <c r="E43" s="3" t="s">
        <v>63</v>
      </c>
    </row>
    <row r="44" spans="1:5" ht="28.8" hidden="1" customHeight="1" x14ac:dyDescent="0.3">
      <c r="A44" t="s">
        <v>50</v>
      </c>
      <c r="B44" s="1">
        <v>2</v>
      </c>
      <c r="C44" s="1">
        <v>2</v>
      </c>
      <c r="D44" s="4">
        <v>46447</v>
      </c>
      <c r="E44" s="3" t="s">
        <v>63</v>
      </c>
    </row>
    <row r="45" spans="1:5" ht="28.8" hidden="1" customHeight="1" x14ac:dyDescent="0.3">
      <c r="A45" t="s">
        <v>51</v>
      </c>
      <c r="B45" s="1">
        <v>3</v>
      </c>
      <c r="C45" s="1">
        <v>3</v>
      </c>
      <c r="D45" s="4">
        <v>46447</v>
      </c>
      <c r="E45" s="3" t="s">
        <v>63</v>
      </c>
    </row>
    <row r="46" spans="1:5" ht="28.8" hidden="1" customHeight="1" x14ac:dyDescent="0.3">
      <c r="A46" t="s">
        <v>44</v>
      </c>
      <c r="B46" s="1">
        <v>2</v>
      </c>
      <c r="C46" s="1">
        <v>2</v>
      </c>
      <c r="D46" s="4">
        <v>46539</v>
      </c>
      <c r="E46" s="3" t="s">
        <v>61</v>
      </c>
    </row>
    <row r="47" spans="1:5" ht="28.8" hidden="1" customHeight="1" x14ac:dyDescent="0.3">
      <c r="A47" t="s">
        <v>46</v>
      </c>
      <c r="B47" s="1">
        <v>2</v>
      </c>
      <c r="C47" s="1">
        <v>2</v>
      </c>
      <c r="D47" s="4">
        <v>46692</v>
      </c>
      <c r="E47" s="3" t="s">
        <v>60</v>
      </c>
    </row>
    <row r="48" spans="1:5" ht="28.8" hidden="1" customHeight="1" x14ac:dyDescent="0.3">
      <c r="A48" t="s">
        <v>64</v>
      </c>
      <c r="B48" s="1">
        <v>2</v>
      </c>
      <c r="C48" s="1">
        <v>2</v>
      </c>
      <c r="D48" s="4">
        <v>46692</v>
      </c>
      <c r="E48" s="3" t="s">
        <v>61</v>
      </c>
    </row>
    <row r="49" spans="1:5" ht="28.8" hidden="1" customHeight="1" x14ac:dyDescent="0.3">
      <c r="A49" t="s">
        <v>64</v>
      </c>
      <c r="B49" s="1">
        <v>2</v>
      </c>
      <c r="C49" s="1">
        <v>2</v>
      </c>
      <c r="D49" s="4">
        <v>46692</v>
      </c>
      <c r="E49" s="3" t="s">
        <v>63</v>
      </c>
    </row>
    <row r="50" spans="1:5" ht="28.8" hidden="1" customHeight="1" x14ac:dyDescent="0.3">
      <c r="A50" t="s">
        <v>50</v>
      </c>
      <c r="B50" s="1">
        <v>2</v>
      </c>
      <c r="C50" s="1">
        <v>2</v>
      </c>
      <c r="D50" s="4">
        <v>46784</v>
      </c>
      <c r="E50" s="3" t="s">
        <v>61</v>
      </c>
    </row>
    <row r="51" spans="1:5" ht="28.8" customHeight="1" x14ac:dyDescent="0.3">
      <c r="A51" t="s">
        <v>64</v>
      </c>
      <c r="B51" s="1">
        <v>2</v>
      </c>
      <c r="C51" s="1">
        <v>2</v>
      </c>
      <c r="D51" s="4">
        <v>46692</v>
      </c>
      <c r="E51" s="3" t="s">
        <v>62</v>
      </c>
    </row>
    <row r="52" spans="1:5" ht="28.8" customHeight="1" x14ac:dyDescent="0.3">
      <c r="A52" t="s">
        <v>52</v>
      </c>
      <c r="B52" s="1">
        <v>2</v>
      </c>
      <c r="C52" s="1">
        <v>2</v>
      </c>
      <c r="D52" s="4">
        <v>47270</v>
      </c>
      <c r="E52" s="3" t="s">
        <v>62</v>
      </c>
    </row>
    <row r="53" spans="1:5" ht="28.8" hidden="1" customHeight="1" x14ac:dyDescent="0.3">
      <c r="A53" t="s">
        <v>52</v>
      </c>
      <c r="B53" s="1">
        <v>2</v>
      </c>
      <c r="C53" s="1">
        <v>2</v>
      </c>
      <c r="D53" s="4">
        <v>47453</v>
      </c>
      <c r="E53" s="3" t="s">
        <v>63</v>
      </c>
    </row>
    <row r="54" spans="1:5" ht="28.8" hidden="1" customHeight="1" x14ac:dyDescent="0.3">
      <c r="A54" t="s">
        <v>49</v>
      </c>
      <c r="B54" s="1">
        <v>1</v>
      </c>
      <c r="C54" s="1">
        <v>1</v>
      </c>
      <c r="D54" s="4" t="s">
        <v>65</v>
      </c>
      <c r="E54" s="3" t="s">
        <v>60</v>
      </c>
    </row>
    <row r="55" spans="1:5" ht="28.8" hidden="1" customHeight="1" x14ac:dyDescent="0.3">
      <c r="A55" t="s">
        <v>53</v>
      </c>
      <c r="B55" s="1">
        <v>2</v>
      </c>
      <c r="C55" s="1">
        <v>2</v>
      </c>
      <c r="D55" s="4" t="s">
        <v>65</v>
      </c>
      <c r="E55" s="3" t="s">
        <v>60</v>
      </c>
    </row>
    <row r="56" spans="1:5" ht="28.8" hidden="1" customHeight="1" x14ac:dyDescent="0.3">
      <c r="A56" t="s">
        <v>54</v>
      </c>
      <c r="B56" s="1">
        <v>1</v>
      </c>
      <c r="C56" s="1">
        <v>1</v>
      </c>
      <c r="D56" s="4" t="s">
        <v>65</v>
      </c>
      <c r="E56" s="3" t="s">
        <v>60</v>
      </c>
    </row>
    <row r="57" spans="1:5" ht="28.8" hidden="1" customHeight="1" x14ac:dyDescent="0.3">
      <c r="A57" t="s">
        <v>55</v>
      </c>
      <c r="B57" s="1">
        <v>1</v>
      </c>
      <c r="C57" s="1">
        <v>1</v>
      </c>
      <c r="D57" s="4" t="s">
        <v>65</v>
      </c>
      <c r="E57" s="3" t="s">
        <v>60</v>
      </c>
    </row>
    <row r="58" spans="1:5" ht="28.8" hidden="1" customHeight="1" x14ac:dyDescent="0.3">
      <c r="A58" t="s">
        <v>49</v>
      </c>
      <c r="B58" s="1">
        <v>1</v>
      </c>
      <c r="C58" s="1">
        <v>1</v>
      </c>
      <c r="D58" s="4" t="s">
        <v>65</v>
      </c>
      <c r="E58" s="3" t="s">
        <v>61</v>
      </c>
    </row>
    <row r="59" spans="1:5" ht="28.8" hidden="1" customHeight="1" x14ac:dyDescent="0.3">
      <c r="A59" t="s">
        <v>53</v>
      </c>
      <c r="B59" s="1">
        <v>2</v>
      </c>
      <c r="C59" s="1">
        <v>2</v>
      </c>
      <c r="D59" s="4" t="s">
        <v>65</v>
      </c>
      <c r="E59" s="3" t="s">
        <v>61</v>
      </c>
    </row>
    <row r="60" spans="1:5" ht="28.8" hidden="1" customHeight="1" x14ac:dyDescent="0.3">
      <c r="A60" t="s">
        <v>54</v>
      </c>
      <c r="B60" s="1">
        <v>1</v>
      </c>
      <c r="C60" s="1">
        <v>1</v>
      </c>
      <c r="D60" s="4" t="s">
        <v>65</v>
      </c>
      <c r="E60" s="3" t="s">
        <v>61</v>
      </c>
    </row>
    <row r="61" spans="1:5" ht="28.8" hidden="1" customHeight="1" x14ac:dyDescent="0.3">
      <c r="A61" t="s">
        <v>55</v>
      </c>
      <c r="B61" s="1">
        <v>1</v>
      </c>
      <c r="C61" s="1">
        <v>1</v>
      </c>
      <c r="D61" s="4" t="s">
        <v>65</v>
      </c>
      <c r="E61" s="3" t="s">
        <v>61</v>
      </c>
    </row>
    <row r="62" spans="1:5" ht="28.8" customHeight="1" x14ac:dyDescent="0.3">
      <c r="A62" t="s">
        <v>49</v>
      </c>
      <c r="B62" s="1">
        <v>1</v>
      </c>
      <c r="C62" s="1">
        <v>1</v>
      </c>
      <c r="D62" s="4" t="s">
        <v>65</v>
      </c>
      <c r="E62" s="3" t="s">
        <v>62</v>
      </c>
    </row>
    <row r="63" spans="1:5" ht="28.8" customHeight="1" x14ac:dyDescent="0.3">
      <c r="A63" t="s">
        <v>53</v>
      </c>
      <c r="B63" s="1">
        <v>2</v>
      </c>
      <c r="C63" s="1">
        <v>2</v>
      </c>
      <c r="D63" s="4" t="s">
        <v>65</v>
      </c>
      <c r="E63" s="3" t="s">
        <v>62</v>
      </c>
    </row>
    <row r="64" spans="1:5" ht="28.8" customHeight="1" x14ac:dyDescent="0.3">
      <c r="A64" t="s">
        <v>54</v>
      </c>
      <c r="B64" s="1">
        <v>1</v>
      </c>
      <c r="C64" s="1">
        <v>1</v>
      </c>
      <c r="D64" s="4" t="s">
        <v>65</v>
      </c>
      <c r="E64" s="3" t="s">
        <v>62</v>
      </c>
    </row>
    <row r="65" spans="1:5" ht="28.8" customHeight="1" x14ac:dyDescent="0.3">
      <c r="A65" t="s">
        <v>55</v>
      </c>
      <c r="B65" s="1">
        <v>1</v>
      </c>
      <c r="C65" s="1">
        <v>1</v>
      </c>
      <c r="D65" s="4" t="s">
        <v>65</v>
      </c>
      <c r="E65" s="3" t="s">
        <v>62</v>
      </c>
    </row>
    <row r="66" spans="1:5" ht="28.8" hidden="1" customHeight="1" x14ac:dyDescent="0.3">
      <c r="A66" t="s">
        <v>49</v>
      </c>
      <c r="B66" s="1">
        <v>1</v>
      </c>
      <c r="C66" s="1">
        <v>1</v>
      </c>
      <c r="D66" s="4" t="s">
        <v>65</v>
      </c>
      <c r="E66" s="3" t="s">
        <v>63</v>
      </c>
    </row>
    <row r="67" spans="1:5" ht="28.8" hidden="1" customHeight="1" x14ac:dyDescent="0.3">
      <c r="A67" t="s">
        <v>53</v>
      </c>
      <c r="B67" s="1">
        <v>2</v>
      </c>
      <c r="C67" s="1">
        <v>2</v>
      </c>
      <c r="D67" s="4" t="s">
        <v>65</v>
      </c>
      <c r="E67" s="3" t="s">
        <v>63</v>
      </c>
    </row>
    <row r="68" spans="1:5" ht="28.8" hidden="1" customHeight="1" x14ac:dyDescent="0.3">
      <c r="A68" t="s">
        <v>54</v>
      </c>
      <c r="B68" s="1">
        <v>1</v>
      </c>
      <c r="C68" s="1">
        <v>1</v>
      </c>
      <c r="D68" s="4" t="s">
        <v>65</v>
      </c>
      <c r="E68" s="3" t="s">
        <v>63</v>
      </c>
    </row>
    <row r="69" spans="1:5" ht="28.8" hidden="1" customHeight="1" x14ac:dyDescent="0.3">
      <c r="A69" t="s">
        <v>55</v>
      </c>
      <c r="B69" s="1">
        <v>1</v>
      </c>
      <c r="C69" s="1">
        <v>1</v>
      </c>
      <c r="D69" s="4" t="s">
        <v>65</v>
      </c>
      <c r="E69" s="3" t="s">
        <v>63</v>
      </c>
    </row>
    <row r="70" spans="1:5" ht="28.8" hidden="1" customHeight="1" x14ac:dyDescent="0.3">
      <c r="A70" t="s">
        <v>39</v>
      </c>
      <c r="B70" s="1">
        <v>5</v>
      </c>
      <c r="C70" s="1">
        <v>5</v>
      </c>
      <c r="D70" s="4">
        <v>47178</v>
      </c>
      <c r="E70" s="3" t="s">
        <v>60</v>
      </c>
    </row>
    <row r="71" spans="1:5" ht="28.8" hidden="1" customHeight="1" x14ac:dyDescent="0.3">
      <c r="A71" t="s">
        <v>40</v>
      </c>
      <c r="B71" s="1">
        <v>1</v>
      </c>
      <c r="C71" s="1">
        <v>1</v>
      </c>
      <c r="D71" s="4">
        <v>47119</v>
      </c>
      <c r="E71" s="3" t="s">
        <v>60</v>
      </c>
    </row>
    <row r="72" spans="1:5" ht="28.8" hidden="1" customHeight="1" x14ac:dyDescent="0.3">
      <c r="A72" t="s">
        <v>40</v>
      </c>
      <c r="B72" s="1">
        <v>1</v>
      </c>
      <c r="C72" s="1">
        <v>1</v>
      </c>
      <c r="D72" s="4">
        <v>47119</v>
      </c>
      <c r="E72" s="3" t="s">
        <v>61</v>
      </c>
    </row>
    <row r="73" spans="1:5" ht="28.8" hidden="1" customHeight="1" x14ac:dyDescent="0.3">
      <c r="A73" t="s">
        <v>45</v>
      </c>
      <c r="B73" s="1">
        <v>2</v>
      </c>
      <c r="C73" s="1">
        <v>2</v>
      </c>
      <c r="D73" s="4">
        <v>46539</v>
      </c>
      <c r="E73" s="3" t="s">
        <v>61</v>
      </c>
    </row>
    <row r="74" spans="1:5" ht="28.8" hidden="1" customHeight="1" x14ac:dyDescent="0.3">
      <c r="A74" t="s">
        <v>67</v>
      </c>
      <c r="B74" s="1">
        <v>1</v>
      </c>
      <c r="C74" s="1">
        <v>1</v>
      </c>
      <c r="D74" s="4">
        <v>45901</v>
      </c>
      <c r="E74" s="3" t="s">
        <v>60</v>
      </c>
    </row>
  </sheetData>
  <autoFilter ref="A1:E74" xr:uid="{1132E085-BBCA-4126-AF6B-313BD5110F77}">
    <filterColumn colId="4">
      <filters>
        <filter val="Cassetta 3 - Preparazione"/>
      </filters>
    </filterColumn>
    <sortState xmlns:xlrd2="http://schemas.microsoft.com/office/spreadsheetml/2017/richdata2" ref="A2:E72">
      <sortCondition ref="D1:D73"/>
    </sortState>
  </autoFilter>
  <conditionalFormatting sqref="C2">
    <cfRule type="cellIs" dxfId="2" priority="1" operator="notEqual">
      <formula>$B$2</formula>
    </cfRule>
    <cfRule type="cellIs" dxfId="1" priority="2" operator="equal">
      <formula>0</formula>
    </cfRule>
  </conditionalFormatting>
  <conditionalFormatting sqref="C2:C74">
    <cfRule type="cellIs" dxfId="0" priority="7" operator="equal">
      <formula>$B2</formula>
    </cfRule>
  </conditionalFormatting>
  <conditionalFormatting sqref="D2:D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EE1C4-D466-794B-A654-480840B871A8}">
  <dimension ref="A1:E19"/>
  <sheetViews>
    <sheetView tabSelected="1" topLeftCell="A9" workbookViewId="0">
      <selection activeCell="A2" sqref="A2:A19"/>
    </sheetView>
  </sheetViews>
  <sheetFormatPr defaultColWidth="11.5546875" defaultRowHeight="14.4" x14ac:dyDescent="0.3"/>
  <cols>
    <col min="1" max="1" width="58.109375" bestFit="1" customWidth="1"/>
  </cols>
  <sheetData>
    <row r="1" spans="1:5" x14ac:dyDescent="0.3">
      <c r="A1" t="s">
        <v>79</v>
      </c>
      <c r="B1" t="s">
        <v>80</v>
      </c>
      <c r="C1" t="s">
        <v>83</v>
      </c>
      <c r="D1" t="s">
        <v>81</v>
      </c>
      <c r="E1" t="s">
        <v>82</v>
      </c>
    </row>
    <row r="2" spans="1:5" x14ac:dyDescent="0.3">
      <c r="A2" t="s">
        <v>69</v>
      </c>
      <c r="B2" s="1">
        <v>5</v>
      </c>
      <c r="C2" s="1" t="s">
        <v>84</v>
      </c>
      <c r="D2">
        <v>90726</v>
      </c>
      <c r="E2">
        <v>9</v>
      </c>
    </row>
    <row r="3" spans="1:5" x14ac:dyDescent="0.3">
      <c r="A3" t="s">
        <v>70</v>
      </c>
      <c r="B3" s="1">
        <v>1</v>
      </c>
      <c r="C3" s="1"/>
    </row>
    <row r="4" spans="1:5" x14ac:dyDescent="0.3">
      <c r="A4" t="s">
        <v>71</v>
      </c>
      <c r="B4" s="1">
        <v>2</v>
      </c>
      <c r="C4" s="1" t="s">
        <v>84</v>
      </c>
      <c r="D4">
        <v>73571</v>
      </c>
      <c r="E4">
        <v>8</v>
      </c>
    </row>
    <row r="5" spans="1:5" x14ac:dyDescent="0.3">
      <c r="A5" t="s">
        <v>10</v>
      </c>
      <c r="B5" s="1">
        <v>1</v>
      </c>
      <c r="C5" s="1" t="s">
        <v>85</v>
      </c>
      <c r="D5">
        <v>73566</v>
      </c>
      <c r="E5">
        <v>8</v>
      </c>
    </row>
    <row r="6" spans="1:5" x14ac:dyDescent="0.3">
      <c r="A6" t="s">
        <v>8</v>
      </c>
      <c r="B6" s="1">
        <v>2</v>
      </c>
      <c r="C6" s="1" t="s">
        <v>84</v>
      </c>
      <c r="D6">
        <v>73570</v>
      </c>
      <c r="E6">
        <v>9</v>
      </c>
    </row>
    <row r="7" spans="1:5" x14ac:dyDescent="0.3">
      <c r="A7" t="s">
        <v>72</v>
      </c>
      <c r="B7" s="1">
        <v>10</v>
      </c>
      <c r="C7" s="1"/>
    </row>
    <row r="8" spans="1:5" x14ac:dyDescent="0.3">
      <c r="A8" t="s">
        <v>73</v>
      </c>
      <c r="B8" s="1">
        <v>1</v>
      </c>
      <c r="C8" s="1" t="s">
        <v>84</v>
      </c>
      <c r="D8">
        <v>53108</v>
      </c>
      <c r="E8">
        <v>6</v>
      </c>
    </row>
    <row r="9" spans="1:5" x14ac:dyDescent="0.3">
      <c r="A9" t="s">
        <v>12</v>
      </c>
      <c r="B9" s="1">
        <v>2</v>
      </c>
      <c r="C9" s="1" t="s">
        <v>84</v>
      </c>
      <c r="D9">
        <v>73563</v>
      </c>
      <c r="E9">
        <v>8</v>
      </c>
    </row>
    <row r="10" spans="1:5" x14ac:dyDescent="0.3">
      <c r="A10" t="s">
        <v>0</v>
      </c>
      <c r="B10" s="1">
        <v>3</v>
      </c>
      <c r="C10" s="1" t="s">
        <v>84</v>
      </c>
      <c r="D10">
        <v>67198</v>
      </c>
      <c r="E10">
        <v>8</v>
      </c>
    </row>
    <row r="11" spans="1:5" x14ac:dyDescent="0.3">
      <c r="A11" t="s">
        <v>74</v>
      </c>
      <c r="B11" s="1">
        <v>1</v>
      </c>
      <c r="C11" s="1" t="s">
        <v>84</v>
      </c>
      <c r="D11">
        <v>96528</v>
      </c>
      <c r="E11">
        <v>6</v>
      </c>
    </row>
    <row r="12" spans="1:5" x14ac:dyDescent="0.3">
      <c r="A12" t="s">
        <v>44</v>
      </c>
      <c r="B12" s="1">
        <v>2</v>
      </c>
      <c r="C12" s="1" t="s">
        <v>85</v>
      </c>
      <c r="D12">
        <v>73565</v>
      </c>
      <c r="E12">
        <v>8</v>
      </c>
    </row>
    <row r="13" spans="1:5" x14ac:dyDescent="0.3">
      <c r="A13" t="s">
        <v>5</v>
      </c>
      <c r="B13" s="1">
        <v>3</v>
      </c>
      <c r="C13" s="1" t="s">
        <v>84</v>
      </c>
      <c r="D13">
        <v>67197</v>
      </c>
      <c r="E13">
        <v>6</v>
      </c>
    </row>
    <row r="14" spans="1:5" x14ac:dyDescent="0.3">
      <c r="A14" t="s">
        <v>75</v>
      </c>
      <c r="B14" s="1">
        <v>2</v>
      </c>
      <c r="C14" s="1" t="s">
        <v>85</v>
      </c>
      <c r="D14">
        <v>100700</v>
      </c>
      <c r="E14">
        <v>7</v>
      </c>
    </row>
    <row r="15" spans="1:5" x14ac:dyDescent="0.3">
      <c r="A15" t="s">
        <v>76</v>
      </c>
      <c r="B15" s="1">
        <v>2</v>
      </c>
      <c r="C15" s="1" t="s">
        <v>84</v>
      </c>
      <c r="D15">
        <v>73560</v>
      </c>
      <c r="E15">
        <v>6</v>
      </c>
    </row>
    <row r="16" spans="1:5" x14ac:dyDescent="0.3">
      <c r="A16" t="s">
        <v>11</v>
      </c>
      <c r="B16" s="1">
        <v>1</v>
      </c>
      <c r="C16" s="1" t="s">
        <v>84</v>
      </c>
      <c r="D16">
        <v>73571</v>
      </c>
      <c r="E16">
        <v>8</v>
      </c>
    </row>
    <row r="17" spans="1:5" x14ac:dyDescent="0.3">
      <c r="A17" t="s">
        <v>77</v>
      </c>
      <c r="B17" s="1">
        <v>2</v>
      </c>
      <c r="C17" t="s">
        <v>86</v>
      </c>
      <c r="D17">
        <v>74023</v>
      </c>
      <c r="E17">
        <v>9</v>
      </c>
    </row>
    <row r="18" spans="1:5" x14ac:dyDescent="0.3">
      <c r="A18" t="s">
        <v>38</v>
      </c>
      <c r="B18" s="1">
        <v>1</v>
      </c>
      <c r="C18" s="1" t="s">
        <v>84</v>
      </c>
      <c r="D18">
        <v>92329</v>
      </c>
      <c r="E18">
        <v>5</v>
      </c>
    </row>
    <row r="19" spans="1:5" x14ac:dyDescent="0.3">
      <c r="A19" t="s">
        <v>78</v>
      </c>
      <c r="B19" s="1">
        <v>1</v>
      </c>
      <c r="C19" s="1" t="s">
        <v>84</v>
      </c>
      <c r="D19">
        <v>94048</v>
      </c>
      <c r="E19">
        <v>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Giacenza armadio</vt:lpstr>
      <vt:lpstr>Situazione Gen</vt:lpstr>
      <vt:lpstr>Da ordinare</vt:lpstr>
      <vt:lpstr>Materiale cassettine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Ettore Bottin - Isokit Srl</dc:creator>
  <cp:lastModifiedBy>Ettore Bottin - Isokit Srl</cp:lastModifiedBy>
  <dcterms:created xsi:type="dcterms:W3CDTF">2015-06-05T18:19:34Z</dcterms:created>
  <dcterms:modified xsi:type="dcterms:W3CDTF">2025-10-16T06:05:50Z</dcterms:modified>
</cp:coreProperties>
</file>